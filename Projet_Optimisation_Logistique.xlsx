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 de départ" sheetId="1" r:id="rId5"/>
    <sheet state="visible" name="Tableau croisé dynamique 2" sheetId="2" r:id="rId6"/>
    <sheet state="visible" name="Données de Référence" sheetId="3" r:id="rId7"/>
  </sheets>
  <definedNames>
    <definedName hidden="1" localSheetId="0" name="_xlnm._FilterDatabase">'Données de départ'!$A$1:$J$1000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<sst xmlns="http://schemas.openxmlformats.org/spreadsheetml/2006/main" count="56" uniqueCount="34">
  <si>
    <t>ID_Commande</t>
  </si>
  <si>
    <t>Pays_Destination</t>
  </si>
  <si>
    <t>Transporteur</t>
  </si>
  <si>
    <t>Date_Expedition</t>
  </si>
  <si>
    <t>Date_Livraison_Prevue</t>
  </si>
  <si>
    <t>Date_Livraison_Reelle</t>
  </si>
  <si>
    <t>Valeur_Commande</t>
  </si>
  <si>
    <t>Nombre jour de retard</t>
  </si>
  <si>
    <t>Penalités</t>
  </si>
  <si>
    <t xml:space="preserve">Statue de livraison </t>
  </si>
  <si>
    <t>CMD-001</t>
  </si>
  <si>
    <t>France</t>
  </si>
  <si>
    <t>DHL</t>
  </si>
  <si>
    <t>CMD-002</t>
  </si>
  <si>
    <t>Allemagne</t>
  </si>
  <si>
    <t>FedEx</t>
  </si>
  <si>
    <t>CMD-003</t>
  </si>
  <si>
    <t>Espagne</t>
  </si>
  <si>
    <t>CMD-004</t>
  </si>
  <si>
    <t>UPS</t>
  </si>
  <si>
    <t>CMD-005</t>
  </si>
  <si>
    <t>Italie</t>
  </si>
  <si>
    <t>CMD-006</t>
  </si>
  <si>
    <t>CMD-007</t>
  </si>
  <si>
    <t>CMD-008</t>
  </si>
  <si>
    <t>CMD-009</t>
  </si>
  <si>
    <t>CMD-010</t>
  </si>
  <si>
    <t>SUM de Valeur_Commande</t>
  </si>
  <si>
    <t>SUM de Penalités</t>
  </si>
  <si>
    <t>Total pour DHL</t>
  </si>
  <si>
    <t>Total pour FedEx</t>
  </si>
  <si>
    <t>Total pour UPS</t>
  </si>
  <si>
    <t>Total général</t>
  </si>
  <si>
    <t>Penalite_Jour_Retard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</si>
</sst>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" sheet="Données de départ"/>
  </cacheSource>
  <cacheFields>
    <cacheField name="ID_Commande" numFmtId="0">
      <sharedItems>
        <s v="CMD-001"/>
        <s v="CMD-002"/>
        <s v="CMD-003"/>
        <s v="CMD-004"/>
        <s v="CMD-005"/>
        <s v="CMD-006"/>
        <s v="CMD-007"/>
        <s v="CMD-008"/>
        <s v="CMD-009"/>
        <s v="CMD-010"/>
      </sharedItems>
    </cacheField>
    <cacheField name="Pays_Destination" numFmtId="0">
      <sharedItems>
        <s v="France"/>
        <s v="Allemagne"/>
        <s v="Espagne"/>
        <s v="Italie"/>
      </sharedItems>
    </cacheField>
    <cacheField name="Transporteur" numFmtId="0">
      <sharedItems>
        <s v="DHL"/>
        <s v="FedEx"/>
        <s v="UPS"/>
      </sharedItems>
    </cacheField>
    <cacheField name="Date_Expedition" numFmtId="164">
      <sharedItems containsSemiMixedTypes="0" containsDate="1" containsString="0"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</sharedItems>
    </cacheField>
    <cacheField name="Date_Livraison_Prevue" numFmtId="164">
      <sharedItems containsSemiMixedTypes="0" containsDate="1" containsString="0">
        <d v="2026-05-05T00:00:00Z"/>
        <d v="2026-05-04T00:00:00Z"/>
        <d v="2026-05-07T00:00:00Z"/>
        <d v="2026-05-06T00:00:00Z"/>
        <d v="2026-05-08T00:00:00Z"/>
        <d v="2026-05-11T00:00:00Z"/>
        <d v="2026-05-12T00:00:00Z"/>
        <d v="2026-05-13T00:00:00Z"/>
      </sharedItems>
    </cacheField>
    <cacheField name="Date_Livraison_Reelle" numFmtId="164">
      <sharedItems containsSemiMixedTypes="0" containsDate="1" containsString="0">
        <d v="2026-05-04T00:00:00Z"/>
        <d v="2026-05-06T00:00:00Z"/>
        <d v="2026-05-07T00:00:00Z"/>
        <d v="2026-05-09T00:00:00Z"/>
        <d v="2026-05-08T00:00:00Z"/>
        <d v="2026-05-12T00:00:00Z"/>
        <d v="2026-05-10T00:00:00Z"/>
        <d v="2026-05-15T00:00:00Z"/>
        <d v="2026-05-13T00:00:00Z"/>
      </sharedItems>
    </cacheField>
    <cacheField name="Valeur_Commande" numFmtId="0">
      <sharedItems containsSemiMixedTypes="0" containsString="0" containsNumber="1" containsInteger="1">
        <n v="12500.0"/>
        <n v="8400.0"/>
        <n v="21000.0"/>
        <n v="4500.0"/>
        <n v="16200.0"/>
        <n v="31000.0"/>
        <n v="9800.0"/>
        <n v="11500.0"/>
        <n v="7200.0"/>
        <n v="18500.0"/>
      </sharedItems>
    </cacheField>
    <cacheField name="Nombre jour de retard" numFmtId="0">
      <sharedItems containsSemiMixedTypes="0" containsString="0" containsNumber="1" containsInteger="1">
        <n v="0.0"/>
        <n v="2.0"/>
        <n v="3.0"/>
        <n v="4.0"/>
      </sharedItems>
    </cacheField>
    <cacheField name="Penalités" numFmtId="0">
      <sharedItems containsSemiMixedTypes="0" containsString="0" containsNumber="1" containsInteger="1">
        <n v="0.0"/>
        <n v="400.0"/>
        <n v="540.0"/>
        <n v="720.0"/>
        <n v="600.0"/>
      </sharedItems>
    </cacheField>
    <cacheField name="Statue de livraison " numFmtId="0">
      <sharedItems>
        <s v="A Temps"/>
        <s v="Retar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 2" cacheId="0" dataCaption="" compact="0" compactData="0">
  <location ref="A1:D15" firstHeaderRow="0" firstDataRow="3" firstDataCol="0"/>
  <pivotFields>
    <pivotField name="ID_Comman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ys_Destination" compact="0" outline="0" multipleItemSelectionAllowed="1" showAll="0">
      <items>
        <item x="0"/>
        <item x="1"/>
        <item x="2"/>
        <item x="3"/>
        <item t="default"/>
      </items>
    </pivotField>
    <pivotField name="Transporteur" axis="axisRow" compact="0" outline="0" multipleItemSelectionAllowed="1" showAll="0" sortType="ascending">
      <items>
        <item x="0"/>
        <item x="1"/>
        <item x="2"/>
        <item t="default"/>
      </items>
    </pivotField>
    <pivotField name="Date_Expedit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ate_Livraison_Prev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_Livraison_Reell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eur_Commande" axis="axisRow" dataField="1" compact="0" outline="0" multipleItemSelectionAllowed="1" showAll="0" sortType="ascending">
      <items>
        <item x="3"/>
        <item x="8"/>
        <item x="1"/>
        <item x="6"/>
        <item x="7"/>
        <item x="0"/>
        <item x="4"/>
        <item x="9"/>
        <item x="2"/>
        <item x="5"/>
        <item t="default"/>
      </items>
    </pivotField>
    <pivotField name="Nombre jour de retard" compact="0" outline="0" multipleItemSelectionAllowed="1" showAll="0">
      <items>
        <item x="0"/>
        <item x="1"/>
        <item x="2"/>
        <item x="3"/>
        <item t="default"/>
      </items>
    </pivotField>
    <pivotField name="Penalité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e de livraison " compact="0" outline="0" multipleItemSelectionAllowed="1" showAll="0">
      <items>
        <item x="0"/>
        <item x="1"/>
        <item t="default"/>
      </items>
    </pivotField>
  </pivotFields>
  <rowFields>
    <field x="2"/>
    <field x="6"/>
  </rowFields>
  <colFields>
    <field x="-2"/>
  </colFields>
  <dataFields>
    <dataField name="SUM of Valeur_Commande" fld="6" baseField="0"/>
    <dataField name="SUM of Penalités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  <col customWidth="1" min="5" max="5" width="20.38"/>
    <col customWidth="1" min="6" max="6" width="20.63"/>
    <col customWidth="1" min="7" max="7" width="15.5"/>
    <col customWidth="1" min="8" max="8" width="18.0"/>
    <col customWidth="1" min="10" max="10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12</v>
      </c>
      <c r="D2" s="3">
        <v>46143.0</v>
      </c>
      <c r="E2" s="3">
        <v>46147.0</v>
      </c>
      <c r="F2" s="3">
        <v>46146.0</v>
      </c>
      <c r="G2" s="4">
        <v>12500.0</v>
      </c>
      <c r="H2" s="5">
        <f t="shared" ref="H2:H11" si="1">IF(E2&gt;F2,0,F2-E2)</f>
        <v>0</v>
      </c>
      <c r="I2" s="5">
        <f t="array" ref="I2">H2 * XLOOKUP(C:C,'Données de Référence'!A:A,'Données de Référence'!B:B)</f>
        <v>0</v>
      </c>
      <c r="J2" s="5" t="str">
        <f t="shared" ref="J2:J11" si="2">IF(H2&gt;0,"Retard","A Temps")</f>
        <v>A Temps</v>
      </c>
    </row>
    <row r="3">
      <c r="A3" s="1" t="s">
        <v>13</v>
      </c>
      <c r="B3" s="1" t="s">
        <v>14</v>
      </c>
      <c r="C3" s="1" t="s">
        <v>15</v>
      </c>
      <c r="D3" s="3">
        <v>46143.0</v>
      </c>
      <c r="E3" s="3">
        <v>46146.0</v>
      </c>
      <c r="F3" s="3">
        <v>46148.0</v>
      </c>
      <c r="G3" s="4">
        <v>8400.0</v>
      </c>
      <c r="H3" s="5">
        <f t="shared" si="1"/>
        <v>2</v>
      </c>
      <c r="I3" s="5">
        <f t="array" ref="I3">H3 * XLOOKUP(C:C,'Données de Référence'!A:A,'Données de Référence'!B:B)</f>
        <v>400</v>
      </c>
      <c r="J3" s="5" t="str">
        <f t="shared" si="2"/>
        <v>Retard</v>
      </c>
    </row>
    <row r="4">
      <c r="A4" s="1" t="s">
        <v>16</v>
      </c>
      <c r="B4" s="1" t="s">
        <v>17</v>
      </c>
      <c r="C4" s="1" t="s">
        <v>12</v>
      </c>
      <c r="D4" s="3">
        <v>46144.0</v>
      </c>
      <c r="E4" s="3">
        <v>46149.0</v>
      </c>
      <c r="F4" s="3">
        <v>46149.0</v>
      </c>
      <c r="G4" s="4">
        <v>21000.0</v>
      </c>
      <c r="H4" s="5">
        <f t="shared" si="1"/>
        <v>0</v>
      </c>
      <c r="I4" s="5">
        <f t="array" ref="I4">H4 * XLOOKUP(C:C,'Données de Référence'!A:A,'Données de Référence'!B:B)</f>
        <v>0</v>
      </c>
      <c r="J4" s="5" t="str">
        <f t="shared" si="2"/>
        <v>A Temps</v>
      </c>
    </row>
    <row r="5">
      <c r="A5" s="1" t="s">
        <v>18</v>
      </c>
      <c r="B5" s="1" t="s">
        <v>11</v>
      </c>
      <c r="C5" s="1" t="s">
        <v>19</v>
      </c>
      <c r="D5" s="3">
        <v>46145.0</v>
      </c>
      <c r="E5" s="3">
        <v>46148.0</v>
      </c>
      <c r="F5" s="3">
        <v>46151.0</v>
      </c>
      <c r="G5" s="4">
        <v>4500.0</v>
      </c>
      <c r="H5" s="5">
        <f t="shared" si="1"/>
        <v>3</v>
      </c>
      <c r="I5" s="5">
        <f t="array" ref="I5">H5 * XLOOKUP(C:C,'Données de Référence'!A:A,'Données de Référence'!B:B)</f>
        <v>540</v>
      </c>
      <c r="J5" s="5" t="str">
        <f t="shared" si="2"/>
        <v>Retard</v>
      </c>
    </row>
    <row r="6">
      <c r="A6" s="1" t="s">
        <v>20</v>
      </c>
      <c r="B6" s="1" t="s">
        <v>21</v>
      </c>
      <c r="C6" s="1" t="s">
        <v>15</v>
      </c>
      <c r="D6" s="3">
        <v>46146.0</v>
      </c>
      <c r="E6" s="3">
        <v>46150.0</v>
      </c>
      <c r="F6" s="3">
        <v>46150.0</v>
      </c>
      <c r="G6" s="4">
        <v>16200.0</v>
      </c>
      <c r="H6" s="5">
        <f t="shared" si="1"/>
        <v>0</v>
      </c>
      <c r="I6" s="5">
        <f t="array" ref="I6">H6 * XLOOKUP(C:C,'Données de Référence'!A:A,'Données de Référence'!B:B)</f>
        <v>0</v>
      </c>
      <c r="J6" s="5" t="str">
        <f t="shared" si="2"/>
        <v>A Temps</v>
      </c>
    </row>
    <row r="7">
      <c r="A7" s="1" t="s">
        <v>22</v>
      </c>
      <c r="B7" s="1" t="s">
        <v>14</v>
      </c>
      <c r="C7" s="1" t="s">
        <v>19</v>
      </c>
      <c r="D7" s="3">
        <v>46147.0</v>
      </c>
      <c r="E7" s="3">
        <v>46150.0</v>
      </c>
      <c r="F7" s="3">
        <v>46154.0</v>
      </c>
      <c r="G7" s="4">
        <v>31000.0</v>
      </c>
      <c r="H7" s="5">
        <f t="shared" si="1"/>
        <v>4</v>
      </c>
      <c r="I7" s="5">
        <f t="array" ref="I7">H7 * XLOOKUP(C:C,'Données de Référence'!A:A,'Données de Référence'!B:B)</f>
        <v>720</v>
      </c>
      <c r="J7" s="5" t="str">
        <f t="shared" si="2"/>
        <v>Retard</v>
      </c>
    </row>
    <row r="8">
      <c r="A8" s="1" t="s">
        <v>23</v>
      </c>
      <c r="B8" s="1" t="s">
        <v>11</v>
      </c>
      <c r="C8" s="1" t="s">
        <v>12</v>
      </c>
      <c r="D8" s="3">
        <v>46148.0</v>
      </c>
      <c r="E8" s="3">
        <v>46153.0</v>
      </c>
      <c r="F8" s="3">
        <v>46152.0</v>
      </c>
      <c r="G8" s="4">
        <v>9800.0</v>
      </c>
      <c r="H8" s="5">
        <f t="shared" si="1"/>
        <v>0</v>
      </c>
      <c r="I8" s="5">
        <f t="array" ref="I8">H8 * XLOOKUP(C:C,'Données de Référence'!A:A,'Données de Référence'!B:B)</f>
        <v>0</v>
      </c>
      <c r="J8" s="5" t="str">
        <f t="shared" si="2"/>
        <v>A Temps</v>
      </c>
    </row>
    <row r="9">
      <c r="A9" s="1" t="s">
        <v>24</v>
      </c>
      <c r="B9" s="1" t="s">
        <v>17</v>
      </c>
      <c r="C9" s="1" t="s">
        <v>15</v>
      </c>
      <c r="D9" s="3">
        <v>46149.0</v>
      </c>
      <c r="E9" s="3">
        <v>46154.0</v>
      </c>
      <c r="F9" s="3">
        <v>46157.0</v>
      </c>
      <c r="G9" s="4">
        <v>11500.0</v>
      </c>
      <c r="H9" s="5">
        <f t="shared" si="1"/>
        <v>3</v>
      </c>
      <c r="I9" s="5">
        <f t="array" ref="I9">H9 * XLOOKUP(C:C,'Données de Référence'!A:A,'Données de Référence'!B:B)</f>
        <v>600</v>
      </c>
      <c r="J9" s="5" t="str">
        <f t="shared" si="2"/>
        <v>Retard</v>
      </c>
    </row>
    <row r="10">
      <c r="A10" s="1" t="s">
        <v>25</v>
      </c>
      <c r="B10" s="1" t="s">
        <v>21</v>
      </c>
      <c r="C10" s="1" t="s">
        <v>19</v>
      </c>
      <c r="D10" s="3">
        <v>46150.0</v>
      </c>
      <c r="E10" s="3">
        <v>46155.0</v>
      </c>
      <c r="F10" s="3">
        <v>46155.0</v>
      </c>
      <c r="G10" s="4">
        <v>7200.0</v>
      </c>
      <c r="H10" s="5">
        <f t="shared" si="1"/>
        <v>0</v>
      </c>
      <c r="I10" s="5">
        <f t="array" ref="I10">H10 * XLOOKUP(C:C,'Données de Référence'!A:A,'Données de Référence'!B:B)</f>
        <v>0</v>
      </c>
      <c r="J10" s="5" t="str">
        <f t="shared" si="2"/>
        <v>A Temps</v>
      </c>
    </row>
    <row r="11">
      <c r="A11" s="1" t="s">
        <v>26</v>
      </c>
      <c r="B11" s="1" t="s">
        <v>14</v>
      </c>
      <c r="C11" s="1" t="s">
        <v>12</v>
      </c>
      <c r="D11" s="3">
        <v>46151.0</v>
      </c>
      <c r="E11" s="3">
        <v>46155.0</v>
      </c>
      <c r="F11" s="3">
        <v>46154.0</v>
      </c>
      <c r="G11" s="4">
        <v>18500.0</v>
      </c>
      <c r="H11" s="5">
        <f t="shared" si="1"/>
        <v>0</v>
      </c>
      <c r="I11" s="5">
        <f t="array" ref="I11">H11 * XLOOKUP(C:C,'Données de Référence'!A:A,'Données de Référence'!B:B)</f>
        <v>0</v>
      </c>
      <c r="J11" s="5" t="str">
        <f t="shared" si="2"/>
        <v>A Temps</v>
      </c>
    </row>
  </sheetData>
  <autoFilter ref="$A$1:$J$1000"/>
  <conditionalFormatting sqref="I1:I11">
    <cfRule type="cellIs" dxfId="0" priority="1" operator="greaterThan">
      <formula>300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1" t="s">
        <v>2</v>
      </c>
      <c r="B1" s="1" t="s">
        <v>33</v>
      </c>
    </row>
    <row r="2">
      <c r="A2" s="1" t="s">
        <v>12</v>
      </c>
      <c r="B2" s="4">
        <v>150.0</v>
      </c>
    </row>
    <row r="3">
      <c r="A3" s="1" t="s">
        <v>15</v>
      </c>
      <c r="B3" s="4">
        <v>200.0</v>
      </c>
    </row>
    <row r="4">
      <c r="A4" s="1" t="s">
        <v>19</v>
      </c>
      <c r="B4" s="4">
        <v>180.0</v>
      </c>
    </row>
  </sheetData>
  <drawing r:id="rId1"/>
</worksheet>
</file>